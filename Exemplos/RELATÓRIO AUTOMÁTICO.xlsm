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uolinc-my.sharepoint.com/personal/wrnogueira_uolinc_com/Documents/Área de Trabalho/Gestor de Polo/"/>
    </mc:Choice>
  </mc:AlternateContent>
  <xr:revisionPtr revIDLastSave="94" documentId="8_{F5D75FC3-4479-40FC-BF67-4675A785BC90}" xr6:coauthVersionLast="47" xr6:coauthVersionMax="47" xr10:uidLastSave="{64C1DF3D-22C9-4BC9-A191-DE64473718F6}"/>
  <bookViews>
    <workbookView xWindow="-110" yWindow="-110" windowWidth="19420" windowHeight="11500" activeTab="1" xr2:uid="{406B99A6-27EE-4C4C-8091-B226EDE25CB7}"/>
  </bookViews>
  <sheets>
    <sheet name="Planilha2" sheetId="4" r:id="rId1"/>
    <sheet name="Resultados" sheetId="3" r:id="rId2"/>
    <sheet name="Planilha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8" i="3" l="1"/>
  <c r="B73" i="3"/>
  <c r="B66" i="3"/>
  <c r="B59" i="3"/>
  <c r="B52" i="3"/>
  <c r="B45" i="3"/>
  <c r="B38" i="3"/>
  <c r="B26" i="3"/>
  <c r="B20" i="3"/>
  <c r="B13" i="3"/>
  <c r="B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4BC578-0161-4871-BFA4-C715E1E8C9C8}" name="Falso" type="6" refreshedVersion="0" background="1">
    <textPr prompt="0" sourceFile="Falso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<sst xmlns="http://schemas.openxmlformats.org/spreadsheetml/2006/main" count="79" uniqueCount="26">
  <si>
    <t>Dentro do SLA</t>
  </si>
  <si>
    <t>Serviço / Número do Chamado</t>
  </si>
  <si>
    <t>Quantidade / Motivo</t>
  </si>
  <si>
    <t>Atendimento Expresso</t>
  </si>
  <si>
    <t>Adesão</t>
  </si>
  <si>
    <t>Troca de Chip</t>
  </si>
  <si>
    <t>Total</t>
  </si>
  <si>
    <t>Encaminhado</t>
  </si>
  <si>
    <t>Finalizado</t>
  </si>
  <si>
    <t>Improdutivo</t>
  </si>
  <si>
    <t>Fora do SLA</t>
  </si>
  <si>
    <t>TIPO DE ATENDIMENTO (03/03/2025 a 03/03/2025)</t>
  </si>
  <si>
    <t>FINALIZADOS POR SERVIÇO (03/03/2025 a 03/03/2025)</t>
  </si>
  <si>
    <t>NOVAS + D0 (03/03/2025 a 03/03/2025)</t>
  </si>
  <si>
    <t>SLA (03/03/2025 a 03/03/2025)</t>
  </si>
  <si>
    <t>Chamados por Modelo de Equipamento (03/03/2025 a 03/03/2025)</t>
  </si>
  <si>
    <t>Chamados Vencendo Hoje (03/03/2025 a 03/03/2025)</t>
  </si>
  <si>
    <t>Chamados Finalizados no Mês (03/03/2025 a 03/03/2025)</t>
  </si>
  <si>
    <t>Dentro do Prazo</t>
  </si>
  <si>
    <t>Fora do Prazo</t>
  </si>
  <si>
    <t>Chamados por Técnico - Juliano Cabral Barreto  (03/03/2025 a 03/03/2025)</t>
  </si>
  <si>
    <t>Chamados por Técnico - Murilo Campos do Nascimento (TEC) (03/03/2025 a 03/03/2025)</t>
  </si>
  <si>
    <t>Chamados por Técnico - Paulo Henrique Vidotti (TEC) (03/03/2025 a 03/03/2025)</t>
  </si>
  <si>
    <t>Chamados por Técnico - Maurício de Souza (TEC) (03/03/2025 a 03/03/2025)</t>
  </si>
  <si>
    <t>Chamados por Tipo de Serviço - Campinas (03/03/2025 a 03/03/2025)</t>
  </si>
  <si>
    <t>Chamados por Tipo de Serviço - Valinhos (03/03/2025 a 03/03/2025)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</si>
</sst>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2</xdr:row>
          <xdr:rowOff>0</xdr:rowOff>
        </xdr:from>
        <xdr:to>
          <xdr:col>5</xdr:col>
          <xdr:colOff>463550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232891-B580-4283-A1B4-4FEB7ADF1C90}" name="TIPO DE ATENDIMENTO" displayName="TIPO_DE_ATENDIMENTO" ref="A2:B6" totalsRowCount="1" headerRowDxfId="10">
  <autoFilter ref="A2:B5" xr:uid="{FB232891-B580-4283-A1B4-4FEB7ADF1C90}"/>
  <tableColumns count="2">
    <tableColumn id="1" xr3:uid="{2D698EF8-6B68-4B84-906A-DFADB55D240A}" name="Serviço / Número do Chamado" totalsRowLabel="Total"/>
    <tableColumn id="2" xr3:uid="{71643694-D1E1-4DB9-8EF4-1C4ED911F6C0}" name="Quantidade / Motivo" totalsRowFunction="sum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62EE9C-CF4D-4565-B88A-EB19359FBE78}" name="FINALIZADOS POR SERVIÇO" displayName="FINALIZADOS_POR_SERVIÇO" ref="A9:B13" totalsRowCount="1" headerRowDxfId="9">
  <autoFilter ref="A9:B12" xr:uid="{8B62EE9C-CF4D-4565-B88A-EB19359FBE78}"/>
  <tableColumns count="2">
    <tableColumn id="1" xr3:uid="{6FD05FF6-56B3-4B78-AA7F-AE8AFF4F512E}" name="Serviço / Número do Chamado" totalsRowLabel="Total"/>
    <tableColumn id="2" xr3:uid="{9CD87675-85D4-47F4-AD3C-61C56F4080ED}" name="Quantidade / Motivo" totalsRowFunction="sum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DD9AE0-A9D8-47E2-8CCB-47E2AF68EA75}" name="NOVAS + D0" displayName="NOVAS___D0" ref="A16:B20" totalsRowCount="1" headerRowDxfId="8">
  <autoFilter ref="A16:B19" xr:uid="{33DD9AE0-A9D8-47E2-8CCB-47E2AF68EA75}"/>
  <tableColumns count="2">
    <tableColumn id="1" xr3:uid="{820686B0-C316-44C2-832D-08FDD4209BBF}" name="Serviço / Número do Chamado" totalsRowLabel="Total"/>
    <tableColumn id="2" xr3:uid="{54E0697A-8BB8-4DDD-8C68-2874D941A48A}" name="Quantidade / Motivo" totalsRowFunction="sum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B3C968-8549-4F14-BF69-76B5B47F9DB7}" name="SLA" displayName="SLA" ref="A23:B26" totalsRowCount="1" headerRowDxfId="7">
  <autoFilter ref="A23:B25" xr:uid="{F0B3C968-8549-4F14-BF69-76B5B47F9DB7}"/>
  <tableColumns count="2">
    <tableColumn id="1" xr3:uid="{C592317B-E6E2-467F-A1DC-F00654E395CE}" name="Serviço / Número do Chamado" totalsRowLabel="Total"/>
    <tableColumn id="2" xr3:uid="{186C1C49-6947-4614-912D-633BB55404E3}" name="Quantidade / Motivo" totalsRowFunction="s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76E248-7B5F-4564-BA5B-8EA0A61F4691}" name="Chamados Finalizados no Mês" displayName="Chamados_Finalizados_no_Mês" ref="A35:B38" totalsRowCount="1" headerRowDxfId="6">
  <autoFilter ref="A35:B37" xr:uid="{0576E248-7B5F-4564-BA5B-8EA0A61F4691}"/>
  <tableColumns count="2">
    <tableColumn id="1" xr3:uid="{D1AEE610-8EAF-4DAB-B801-5FE788D646DA}" name="Serviço / Número do Chamado" totalsRowLabel="Total"/>
    <tableColumn id="2" xr3:uid="{C3C83C17-77F6-4A14-B517-7C890FE710D2}" name="Quantidade / Motivo" totalsRowFunction="s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087225-2764-411F-BF9A-74AA98866D5B}" name="Chamados por Técnico - Juliano Cabral Barreto " displayName="Chamados_por_Técnico___Juliano_Cabral_Barreto" ref="A41:B45" totalsRowCount="1" headerRowDxfId="5">
  <autoFilter ref="A41:B44" xr:uid="{E2087225-2764-411F-BF9A-74AA98866D5B}"/>
  <tableColumns count="2">
    <tableColumn id="1" xr3:uid="{D067C937-D490-4182-818A-9C88650FA91A}" name="Serviço / Número do Chamado" totalsRowLabel="Total"/>
    <tableColumn id="2" xr3:uid="{5F1FE5A0-E08A-4111-8A69-78505C28D112}" name="Quantidade / Motivo" totalsRowFunction="sum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2B5402-B912-433E-8118-EAA8C78F97A2}" name="Chamados por Técnico - Murilo Campos do Nascimento (TEC)" displayName="Chamados_por_Técnico___Murilo_Campos_do_Nascimento__TEC" ref="A48:B52" totalsRowCount="1" headerRowDxfId="4">
  <autoFilter ref="A48:B51" xr:uid="{0F2B5402-B912-433E-8118-EAA8C78F97A2}"/>
  <tableColumns count="2">
    <tableColumn id="1" xr3:uid="{7D101F7E-7F9F-4F9F-86A3-90013E55B08A}" name="Serviço / Número do Chamado" totalsRowLabel="Total"/>
    <tableColumn id="2" xr3:uid="{4AC2E5ED-C764-4B0E-B5B4-4AB994F19E57}" name="Quantidade / Motivo" totalsRowFunction="sum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CA7DDC-361B-41F9-8553-85CCDF8EBAE2}" name="Chamados por Técnico - Paulo Henrique Vidotti (TEC)" displayName="Chamados_por_Técnico___Paulo_Henrique_Vidotti__TEC" ref="A55:B59" totalsRowCount="1" headerRowDxfId="3">
  <autoFilter ref="A55:B58" xr:uid="{71CA7DDC-361B-41F9-8553-85CCDF8EBAE2}"/>
  <tableColumns count="2">
    <tableColumn id="1" xr3:uid="{B5C03FFF-90B3-4A6B-9A83-B84CD78A2A5D}" name="Serviço / Número do Chamado" totalsRowLabel="Total"/>
    <tableColumn id="2" xr3:uid="{50E37838-35CF-41FA-8405-4BF2FDB2C52A}" name="Quantidade / Motivo" totalsRowFunction="sum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57D4F5C-260C-492C-B539-2BF65B73C982}" name="Chamados por Técnico - Maurício de Souza (TEC)" displayName="Chamados_por_Técnico___Maurício_de_Souza__TEC" ref="A62:B66" totalsRowCount="1" headerRowDxfId="2">
  <autoFilter ref="A62:B65" xr:uid="{157D4F5C-260C-492C-B539-2BF65B73C982}"/>
  <tableColumns count="2">
    <tableColumn id="1" xr3:uid="{FA929C4E-D1F0-4BFF-812B-3FD6AEEB0E56}" name="Serviço / Número do Chamado" totalsRowLabel="Total"/>
    <tableColumn id="2" xr3:uid="{C9BDA45A-82D4-4AC1-9B03-DE17E701EBC8}" name="Quantidade / Motivo" totalsRowFunction="sum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A0DF07-C900-4205-A45D-69F0682D6390}" name="Chamados por Tipo de Serviço - Campinas" displayName="Chamados_por_Tipo_de_Serviço___Campinas" ref="A69:B73" totalsRowCount="1" headerRowDxfId="1">
  <autoFilter ref="A69:B72" xr:uid="{CEA0DF07-C900-4205-A45D-69F0682D6390}"/>
  <tableColumns count="2">
    <tableColumn id="1" xr3:uid="{0722039C-25B2-46F3-A946-B466D8901D68}" name="Serviço / Número do Chamado" totalsRowLabel="Total"/>
    <tableColumn id="2" xr3:uid="{37756D35-5C6F-408C-B591-162C8F815D3B}" name="Quantidade / Motivo" totalsRowFunction="sum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9CCF35-55CD-4C14-8506-0F7AD8921ADC}" name="Chamados por Tipo de Serviço - Valinhos" displayName="Chamados_por_Tipo_de_Serviço___Valinhos" ref="A76:B78" totalsRowCount="1" headerRowDxfId="0">
  <autoFilter ref="A76:B77" xr:uid="{DE9CCF35-55CD-4C14-8506-0F7AD8921ADC}"/>
  <tableColumns count="2">
    <tableColumn id="1" xr3:uid="{C61A5DDD-15DE-4401-8D2C-A3B6419EA366}" name="Serviço / Número do Chamado" totalsRowLabel="Total"/>
    <tableColumn id="2" xr3:uid="{26600032-8C88-4B66-968E-9CD4EDBB1471}" name="Quantidade / Motivo" totalsRowFunction="s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customProperty" Target="../customProperty1.bin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1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99171-2F3F-443B-8CD1-AFB735C1B190}">
  <sheetPr codeName="Planilha3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2F41-B632-4D5B-B0DE-A3467AC4448E}">
  <sheetPr codeName="Planilha2"/>
  <dimension ref="A1:B78"/>
  <sheetViews>
    <sheetView showGridLines="0" tabSelected="1" workbookViewId="0">
      <selection activeCell="G13" sqref="G13"/>
    </sheetView>
  </sheetViews>
  <sheetFormatPr defaultRowHeight="14.5" x14ac:dyDescent="0.35"/>
  <cols>
    <col min="1" max="1" width="80.81640625" bestFit="1" customWidth="1"/>
    <col min="2" max="2" width="22.36328125" bestFit="1" customWidth="1"/>
  </cols>
  <sheetData>
    <row r="1" spans="1:2" ht="16" x14ac:dyDescent="0.4">
      <c r="A1" s="1" t="s">
        <v>11</v>
      </c>
    </row>
    <row r="2" spans="1:2" s="2" customFormat="1" x14ac:dyDescent="0.35">
      <c r="A2" s="2" t="s">
        <v>1</v>
      </c>
      <c r="B2" s="2" t="s">
        <v>2</v>
      </c>
    </row>
    <row r="3" spans="1:2" x14ac:dyDescent="0.35">
      <c r="A3" t="s">
        <v>4</v>
      </c>
      <c r="B3">
        <v>6</v>
      </c>
    </row>
    <row r="4" spans="1:2" x14ac:dyDescent="0.35">
      <c r="A4" t="s">
        <v>3</v>
      </c>
      <c r="B4">
        <v>10</v>
      </c>
    </row>
    <row r="5" spans="1:2" x14ac:dyDescent="0.35">
      <c r="A5" t="s">
        <v>5</v>
      </c>
      <c r="B5">
        <v>4</v>
      </c>
    </row>
    <row r="6" spans="1:2" x14ac:dyDescent="0.35">
      <c r="A6" t="s">
        <v>6</v>
      </c>
      <c r="B6">
        <f>SUBTOTAL(109,TIPO_DE_ATENDIMENTO[Quantidade / Motivo])</f>
        <v>20</v>
      </c>
    </row>
    <row r="8" spans="1:2" ht="16" x14ac:dyDescent="0.4">
      <c r="A8" s="1" t="s">
        <v>12</v>
      </c>
    </row>
    <row r="9" spans="1:2" s="2" customFormat="1" x14ac:dyDescent="0.35">
      <c r="A9" s="2" t="s">
        <v>1</v>
      </c>
      <c r="B9" s="2" t="s">
        <v>2</v>
      </c>
    </row>
    <row r="10" spans="1:2" x14ac:dyDescent="0.35">
      <c r="A10" t="s">
        <v>4</v>
      </c>
      <c r="B10">
        <v>3</v>
      </c>
    </row>
    <row r="11" spans="1:2" x14ac:dyDescent="0.35">
      <c r="A11" t="s">
        <v>5</v>
      </c>
      <c r="B11">
        <v>3</v>
      </c>
    </row>
    <row r="12" spans="1:2" x14ac:dyDescent="0.35">
      <c r="A12" t="s">
        <v>3</v>
      </c>
      <c r="B12">
        <v>4</v>
      </c>
    </row>
    <row r="13" spans="1:2" x14ac:dyDescent="0.35">
      <c r="A13" t="s">
        <v>6</v>
      </c>
      <c r="B13">
        <f>SUBTOTAL(109,FINALIZADOS_POR_SERVIÇO[Quantidade / Motivo])</f>
        <v>10</v>
      </c>
    </row>
    <row r="15" spans="1:2" ht="16" x14ac:dyDescent="0.4">
      <c r="A15" s="1" t="s">
        <v>13</v>
      </c>
    </row>
    <row r="16" spans="1:2" s="2" customFormat="1" x14ac:dyDescent="0.35">
      <c r="A16" s="2" t="s">
        <v>1</v>
      </c>
      <c r="B16" s="2" t="s">
        <v>2</v>
      </c>
    </row>
    <row r="17" spans="1:2" x14ac:dyDescent="0.35">
      <c r="A17" t="s">
        <v>7</v>
      </c>
      <c r="B17">
        <v>9</v>
      </c>
    </row>
    <row r="18" spans="1:2" x14ac:dyDescent="0.35">
      <c r="A18" t="s">
        <v>8</v>
      </c>
      <c r="B18">
        <v>10</v>
      </c>
    </row>
    <row r="19" spans="1:2" x14ac:dyDescent="0.35">
      <c r="A19" t="s">
        <v>9</v>
      </c>
      <c r="B19">
        <v>1</v>
      </c>
    </row>
    <row r="20" spans="1:2" x14ac:dyDescent="0.35">
      <c r="A20" t="s">
        <v>6</v>
      </c>
      <c r="B20">
        <f>SUBTOTAL(109,NOVAS___D0[Quantidade / Motivo])</f>
        <v>20</v>
      </c>
    </row>
    <row r="22" spans="1:2" ht="16" x14ac:dyDescent="0.4">
      <c r="A22" s="1" t="s">
        <v>14</v>
      </c>
    </row>
    <row r="23" spans="1:2" s="2" customFormat="1" x14ac:dyDescent="0.35">
      <c r="A23" s="2" t="s">
        <v>1</v>
      </c>
      <c r="B23" s="2" t="s">
        <v>2</v>
      </c>
    </row>
    <row r="24" spans="1:2" x14ac:dyDescent="0.35">
      <c r="A24" t="s">
        <v>0</v>
      </c>
      <c r="B24">
        <v>11</v>
      </c>
    </row>
    <row r="25" spans="1:2" x14ac:dyDescent="0.35">
      <c r="A25" t="s">
        <v>10</v>
      </c>
      <c r="B25">
        <v>0</v>
      </c>
    </row>
    <row r="26" spans="1:2" x14ac:dyDescent="0.35">
      <c r="A26" t="s">
        <v>6</v>
      </c>
      <c r="B26">
        <f>SUBTOTAL(109,SLA[Quantidade / Motivo])</f>
        <v>11</v>
      </c>
    </row>
    <row r="28" spans="1:2" ht="16" x14ac:dyDescent="0.4">
      <c r="A28" s="1" t="s">
        <v>15</v>
      </c>
    </row>
    <row r="29" spans="1:2" s="2" customFormat="1" x14ac:dyDescent="0.35">
      <c r="A29" s="2" t="s">
        <v>1</v>
      </c>
      <c r="B29" s="2" t="s">
        <v>2</v>
      </c>
    </row>
    <row r="31" spans="1:2" ht="16" x14ac:dyDescent="0.4">
      <c r="A31" s="1" t="s">
        <v>16</v>
      </c>
    </row>
    <row r="32" spans="1:2" s="2" customFormat="1" x14ac:dyDescent="0.35">
      <c r="A32" s="2" t="s">
        <v>1</v>
      </c>
      <c r="B32" s="2" t="s">
        <v>2</v>
      </c>
    </row>
    <row r="34" spans="1:2" ht="16" x14ac:dyDescent="0.4">
      <c r="A34" s="1" t="s">
        <v>17</v>
      </c>
    </row>
    <row r="35" spans="1:2" s="2" customFormat="1" x14ac:dyDescent="0.35">
      <c r="A35" s="2" t="s">
        <v>1</v>
      </c>
      <c r="B35" s="2" t="s">
        <v>2</v>
      </c>
    </row>
    <row r="36" spans="1:2" x14ac:dyDescent="0.35">
      <c r="A36" t="s">
        <v>18</v>
      </c>
      <c r="B36">
        <v>10</v>
      </c>
    </row>
    <row r="37" spans="1:2" x14ac:dyDescent="0.35">
      <c r="A37" t="s">
        <v>19</v>
      </c>
      <c r="B37">
        <v>0</v>
      </c>
    </row>
    <row r="38" spans="1:2" x14ac:dyDescent="0.35">
      <c r="A38" t="s">
        <v>6</v>
      </c>
      <c r="B38">
        <f>SUBTOTAL(109,Chamados_Finalizados_no_Mês[Quantidade / Motivo])</f>
        <v>10</v>
      </c>
    </row>
    <row r="40" spans="1:2" ht="16" x14ac:dyDescent="0.4">
      <c r="A40" s="1" t="s">
        <v>20</v>
      </c>
    </row>
    <row r="41" spans="1:2" s="2" customFormat="1" x14ac:dyDescent="0.35">
      <c r="A41" s="2" t="s">
        <v>1</v>
      </c>
      <c r="B41" s="2" t="s">
        <v>2</v>
      </c>
    </row>
    <row r="42" spans="1:2" x14ac:dyDescent="0.35">
      <c r="A42" t="s">
        <v>9</v>
      </c>
      <c r="B42">
        <v>0</v>
      </c>
    </row>
    <row r="43" spans="1:2" x14ac:dyDescent="0.35">
      <c r="A43" t="s">
        <v>8</v>
      </c>
      <c r="B43">
        <v>0</v>
      </c>
    </row>
    <row r="44" spans="1:2" x14ac:dyDescent="0.35">
      <c r="A44" t="s">
        <v>7</v>
      </c>
      <c r="B44">
        <v>2</v>
      </c>
    </row>
    <row r="45" spans="1:2" x14ac:dyDescent="0.35">
      <c r="A45" t="s">
        <v>6</v>
      </c>
      <c r="B45">
        <f>SUBTOTAL(109,Chamados_por_Técnico___Juliano_Cabral_Barreto[Quantidade / Motivo])</f>
        <v>2</v>
      </c>
    </row>
    <row r="47" spans="1:2" ht="16" x14ac:dyDescent="0.4">
      <c r="A47" s="1" t="s">
        <v>21</v>
      </c>
    </row>
    <row r="48" spans="1:2" s="2" customFormat="1" x14ac:dyDescent="0.35">
      <c r="A48" s="2" t="s">
        <v>1</v>
      </c>
      <c r="B48" s="2" t="s">
        <v>2</v>
      </c>
    </row>
    <row r="49" spans="1:2" x14ac:dyDescent="0.35">
      <c r="A49" t="s">
        <v>9</v>
      </c>
      <c r="B49">
        <v>0</v>
      </c>
    </row>
    <row r="50" spans="1:2" x14ac:dyDescent="0.35">
      <c r="A50" t="s">
        <v>8</v>
      </c>
      <c r="B50">
        <v>0</v>
      </c>
    </row>
    <row r="51" spans="1:2" x14ac:dyDescent="0.35">
      <c r="A51" t="s">
        <v>7</v>
      </c>
      <c r="B51">
        <v>3</v>
      </c>
    </row>
    <row r="52" spans="1:2" x14ac:dyDescent="0.35">
      <c r="A52" t="s">
        <v>6</v>
      </c>
      <c r="B52">
        <f>SUBTOTAL(109,Chamados_por_Técnico___Murilo_Campos_do_Nascimento__TEC[Quantidade / Motivo])</f>
        <v>3</v>
      </c>
    </row>
    <row r="54" spans="1:2" ht="16" x14ac:dyDescent="0.4">
      <c r="A54" s="1" t="s">
        <v>22</v>
      </c>
    </row>
    <row r="55" spans="1:2" s="2" customFormat="1" x14ac:dyDescent="0.35">
      <c r="A55" s="2" t="s">
        <v>1</v>
      </c>
      <c r="B55" s="2" t="s">
        <v>2</v>
      </c>
    </row>
    <row r="56" spans="1:2" x14ac:dyDescent="0.35">
      <c r="A56" t="s">
        <v>9</v>
      </c>
      <c r="B56">
        <v>0</v>
      </c>
    </row>
    <row r="57" spans="1:2" x14ac:dyDescent="0.35">
      <c r="A57" t="s">
        <v>8</v>
      </c>
      <c r="B57">
        <v>3</v>
      </c>
    </row>
    <row r="58" spans="1:2" x14ac:dyDescent="0.35">
      <c r="A58" t="s">
        <v>7</v>
      </c>
      <c r="B58">
        <v>3</v>
      </c>
    </row>
    <row r="59" spans="1:2" x14ac:dyDescent="0.35">
      <c r="A59" t="s">
        <v>6</v>
      </c>
      <c r="B59">
        <f>SUBTOTAL(109,Chamados_por_Técnico___Paulo_Henrique_Vidotti__TEC[Quantidade / Motivo])</f>
        <v>6</v>
      </c>
    </row>
    <row r="61" spans="1:2" ht="16" x14ac:dyDescent="0.4">
      <c r="A61" s="1" t="s">
        <v>23</v>
      </c>
    </row>
    <row r="62" spans="1:2" s="2" customFormat="1" x14ac:dyDescent="0.35">
      <c r="A62" s="2" t="s">
        <v>1</v>
      </c>
      <c r="B62" s="2" t="s">
        <v>2</v>
      </c>
    </row>
    <row r="63" spans="1:2" x14ac:dyDescent="0.35">
      <c r="A63" t="s">
        <v>9</v>
      </c>
      <c r="B63">
        <v>1</v>
      </c>
    </row>
    <row r="64" spans="1:2" x14ac:dyDescent="0.35">
      <c r="A64" t="s">
        <v>8</v>
      </c>
      <c r="B64">
        <v>7</v>
      </c>
    </row>
    <row r="65" spans="1:2" x14ac:dyDescent="0.35">
      <c r="A65" t="s">
        <v>7</v>
      </c>
      <c r="B65">
        <v>1</v>
      </c>
    </row>
    <row r="66" spans="1:2" x14ac:dyDescent="0.35">
      <c r="A66" t="s">
        <v>6</v>
      </c>
      <c r="B66">
        <f>SUBTOTAL(109,Chamados_por_Técnico___Maurício_de_Souza__TEC[Quantidade / Motivo])</f>
        <v>9</v>
      </c>
    </row>
    <row r="68" spans="1:2" ht="16" x14ac:dyDescent="0.4">
      <c r="A68" s="1" t="s">
        <v>24</v>
      </c>
    </row>
    <row r="69" spans="1:2" s="2" customFormat="1" x14ac:dyDescent="0.35">
      <c r="A69" s="2" t="s">
        <v>1</v>
      </c>
      <c r="B69" s="2" t="s">
        <v>2</v>
      </c>
    </row>
    <row r="70" spans="1:2" x14ac:dyDescent="0.35">
      <c r="A70" t="s">
        <v>4</v>
      </c>
      <c r="B70">
        <v>6</v>
      </c>
    </row>
    <row r="71" spans="1:2" x14ac:dyDescent="0.35">
      <c r="A71" t="s">
        <v>3</v>
      </c>
      <c r="B71">
        <v>9</v>
      </c>
    </row>
    <row r="72" spans="1:2" x14ac:dyDescent="0.35">
      <c r="A72" t="s">
        <v>5</v>
      </c>
      <c r="B72">
        <v>4</v>
      </c>
    </row>
    <row r="73" spans="1:2" x14ac:dyDescent="0.35">
      <c r="A73" t="s">
        <v>6</v>
      </c>
      <c r="B73">
        <f>SUBTOTAL(109,Chamados_por_Tipo_de_Serviço___Campinas[Quantidade / Motivo])</f>
        <v>19</v>
      </c>
    </row>
    <row r="75" spans="1:2" ht="16" x14ac:dyDescent="0.4">
      <c r="A75" s="1" t="s">
        <v>25</v>
      </c>
    </row>
    <row r="76" spans="1:2" s="2" customFormat="1" x14ac:dyDescent="0.35">
      <c r="A76" s="2" t="s">
        <v>1</v>
      </c>
      <c r="B76" s="2" t="s">
        <v>2</v>
      </c>
    </row>
    <row r="77" spans="1:2" x14ac:dyDescent="0.35">
      <c r="A77" t="s">
        <v>3</v>
      </c>
      <c r="B77">
        <v>1</v>
      </c>
    </row>
    <row r="78" spans="1:2" x14ac:dyDescent="0.35">
      <c r="A78" t="s">
        <v>6</v>
      </c>
      <c r="B78">
        <f>SUBTOTAL(109,Chamados_por_Tipo_de_Serviço___Valinhos[Quantidade / Motivo])</f>
        <v>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GerarPainelDeInformacoes">
                <anchor moveWithCells="1" sizeWithCells="1">
                  <from>
                    <xdr:col>3</xdr:col>
                    <xdr:colOff>260350</xdr:colOff>
                    <xdr:row>2</xdr:row>
                    <xdr:rowOff>0</xdr:rowOff>
                  </from>
                  <to>
                    <xdr:col>5</xdr:col>
                    <xdr:colOff>463550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6F305-1C5E-403A-BB7E-5ECE429CFDFB}">
  <sheetPr codeName="Planilha1"/>
  <dimension ref="A1"/>
  <sheetViews>
    <sheetView workbookViewId="0">
      <selection activeCell="Q7" sqref="Q7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Planilha2</vt:lpstr>
      <vt:lpstr>Resultados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Wendell Ribeiro Nogueira</dc:creator>
  <cp:lastModifiedBy>Wendell Ribeiro Nogueira</cp:lastModifiedBy>
  <dcterms:created xsi:type="dcterms:W3CDTF">2025-02-18T16:20:47Z</dcterms:created>
  <dcterms:modified xsi:type="dcterms:W3CDTF">2025-03-03T18:24:52Z</dcterms:modified>
</cp:coreProperties>
</file>